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b46a6bf8be3a46/Desktop/New Degradation Aware Run/"/>
    </mc:Choice>
  </mc:AlternateContent>
  <xr:revisionPtr revIDLastSave="17" documentId="13_ncr:1_{8EB94D33-5000-43D7-BE43-7897448961A6}" xr6:coauthVersionLast="47" xr6:coauthVersionMax="47" xr10:uidLastSave="{C5A0CBBE-EF4E-475A-AA34-4ADD2D799744}"/>
  <bookViews>
    <workbookView xWindow="-120" yWindow="-120" windowWidth="29040" windowHeight="15720" tabRatio="500" activeTab="1" xr2:uid="{00000000-000D-0000-FFFF-FFFF00000000}"/>
  </bookViews>
  <sheets>
    <sheet name="Stage 2 Results" sheetId="1" r:id="rId1"/>
    <sheet name="Run Parameter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0" i="1" l="1"/>
  <c r="K20" i="1"/>
  <c r="J20" i="1"/>
  <c r="H20" i="1"/>
  <c r="O19" i="1"/>
  <c r="K19" i="1"/>
  <c r="J19" i="1"/>
  <c r="H19" i="1"/>
  <c r="O18" i="1"/>
  <c r="K18" i="1"/>
  <c r="J18" i="1"/>
  <c r="H18" i="1"/>
  <c r="O17" i="1"/>
  <c r="K17" i="1"/>
  <c r="J17" i="1"/>
  <c r="H17" i="1"/>
  <c r="O16" i="1"/>
  <c r="K16" i="1"/>
  <c r="J16" i="1"/>
  <c r="H16" i="1"/>
  <c r="O15" i="1"/>
  <c r="K15" i="1"/>
  <c r="J15" i="1"/>
  <c r="H15" i="1"/>
  <c r="O14" i="1"/>
  <c r="K14" i="1"/>
  <c r="J14" i="1"/>
  <c r="H14" i="1"/>
  <c r="O13" i="1"/>
  <c r="K13" i="1"/>
  <c r="J13" i="1"/>
  <c r="H13" i="1"/>
  <c r="O12" i="1"/>
  <c r="K12" i="1"/>
  <c r="J12" i="1"/>
  <c r="H12" i="1"/>
  <c r="O11" i="1"/>
  <c r="K11" i="1"/>
  <c r="J11" i="1"/>
  <c r="H11" i="1"/>
  <c r="O10" i="1"/>
  <c r="K10" i="1"/>
  <c r="J10" i="1"/>
  <c r="H10" i="1"/>
  <c r="O9" i="1"/>
  <c r="K9" i="1"/>
  <c r="J9" i="1"/>
  <c r="H9" i="1"/>
  <c r="O8" i="1"/>
  <c r="K8" i="1"/>
  <c r="J8" i="1"/>
  <c r="H8" i="1"/>
  <c r="O7" i="1"/>
  <c r="K7" i="1"/>
  <c r="J7" i="1"/>
  <c r="H7" i="1"/>
  <c r="O6" i="1"/>
  <c r="K6" i="1"/>
  <c r="J6" i="1"/>
  <c r="H6" i="1"/>
  <c r="O5" i="1"/>
  <c r="K5" i="1"/>
  <c r="J5" i="1"/>
  <c r="H5" i="1"/>
  <c r="O4" i="1"/>
  <c r="K4" i="1"/>
  <c r="J4" i="1"/>
  <c r="H4" i="1"/>
  <c r="H24" i="1" l="1"/>
  <c r="H23" i="1"/>
  <c r="K24" i="1"/>
  <c r="K23" i="1"/>
  <c r="H22" i="1"/>
  <c r="K22" i="1"/>
  <c r="H21" i="1"/>
  <c r="K21" i="1"/>
</calcChain>
</file>

<file path=xl/sharedStrings.xml><?xml version="1.0" encoding="utf-8"?>
<sst xmlns="http://schemas.openxmlformats.org/spreadsheetml/2006/main" count="94" uniqueCount="78">
  <si>
    <t>Inst ID</t>
  </si>
  <si>
    <t>Instance</t>
  </si>
  <si>
    <t>N (jobs)</t>
  </si>
  <si>
    <t>M (crews)</t>
  </si>
  <si>
    <t>Q (machines)</t>
  </si>
  <si>
    <t>BKV (Coelho 2025)</t>
  </si>
  <si>
    <t>Base (No-Deg) Cost</t>
  </si>
  <si>
    <t>RPD vs BKV</t>
  </si>
  <si>
    <t>Degradation Component</t>
  </si>
  <si>
    <t>Total Objective</t>
  </si>
  <si>
    <t>Cost Impact</t>
  </si>
  <si>
    <t>MIP Gap (%)</t>
  </si>
  <si>
    <t>Status</t>
  </si>
  <si>
    <t>Jobs Assigned</t>
  </si>
  <si>
    <t>Jobs Outsourced</t>
  </si>
  <si>
    <t>Crews Activated</t>
  </si>
  <si>
    <t>theta_inst</t>
  </si>
  <si>
    <t>LTPMSP_01_00150_00148_00120</t>
  </si>
  <si>
    <t>OPTIMAL</t>
  </si>
  <si>
    <t>LTPMSP_02_00150_00075_00129</t>
  </si>
  <si>
    <t>LTPMSP_03_00150_00102_00091</t>
  </si>
  <si>
    <t>LTPMSP_04_00150_00057_00126</t>
  </si>
  <si>
    <t>LTPMSP_05_00150_00092_00093</t>
  </si>
  <si>
    <t>LTPMSP_06_00150_00071_00101</t>
  </si>
  <si>
    <t>LTPMSP_01_00300_00158_00179</t>
  </si>
  <si>
    <t>LTPMSP_02_00300_00221_00239</t>
  </si>
  <si>
    <t>TIME_LIMIT</t>
  </si>
  <si>
    <t>LTPMSP_03_00300_00112_00177</t>
  </si>
  <si>
    <t>LTPMSP_04_00300_00075_00181</t>
  </si>
  <si>
    <t>LTPMSP_05_00300_00121_00162</t>
  </si>
  <si>
    <t>LTPMSP_06_00300_00119_00176</t>
  </si>
  <si>
    <t>LTPMSP_01_00600_00165_00329</t>
  </si>
  <si>
    <t>LTPMSP_02_00600_00256_00388</t>
  </si>
  <si>
    <t>LTPMSP_03_00600_00120_00288</t>
  </si>
  <si>
    <t>LTPMSP_04_00600_00077_00215</t>
  </si>
  <si>
    <t>LTPMSP_05_00600_00126_00279</t>
  </si>
  <si>
    <t>Average N=150</t>
  </si>
  <si>
    <t>Average N=300</t>
  </si>
  <si>
    <t>Average N=600</t>
  </si>
  <si>
    <t>Overall Average</t>
  </si>
  <si>
    <t>Parameter</t>
  </si>
  <si>
    <t>Value</t>
  </si>
  <si>
    <t>Note</t>
  </si>
  <si>
    <t>Pipeline stage</t>
  </si>
  <si>
    <t>Step 2 (v3) — Our Solution Export</t>
  </si>
  <si>
    <t>Degradation-aware MIP, per-job rho draws</t>
  </si>
  <si>
    <t>Repair effectiveness</t>
  </si>
  <si>
    <t>rho ~ Triangular(0.30, 0.50, 0.70)</t>
  </si>
  <si>
    <t>Per job: 30 draws each; seed 42 per instance, stream in job row order</t>
  </si>
  <si>
    <t>Draws per job (S)</t>
  </si>
  <si>
    <t>Listed in the instance file rows; averages in final column</t>
  </si>
  <si>
    <t>Degradation rate (Lambda)</t>
  </si>
  <si>
    <t>Virtual-age units per hour of elapsed operating time</t>
  </si>
  <si>
    <t>Sampling periods (N)</t>
  </si>
  <si>
    <t>Equal periods over [0, max Li] per instance</t>
  </si>
  <si>
    <t>Reference schedule</t>
  </si>
  <si>
    <t>Inverted-JPA</t>
  </si>
  <si>
    <t>Jobs sorted by L, placed at t = L - P</t>
  </si>
  <si>
    <t>theta_base</t>
  </si>
  <si>
    <t>Base degradation cost coefficient</t>
  </si>
  <si>
    <t>Zbar_nodeg</t>
  </si>
  <si>
    <t>Mean no-degradation cost across 17 instances</t>
  </si>
  <si>
    <t>theta_base x (NoDeg_inst / Zbar_nodeg)</t>
  </si>
  <si>
    <t>Instance-normalized coefficient</t>
  </si>
  <si>
    <t>MIP gap tolerance</t>
  </si>
  <si>
    <t>1%</t>
  </si>
  <si>
    <t>Gurobi certified</t>
  </si>
  <si>
    <t>Time limit</t>
  </si>
  <si>
    <t>600 s per instance</t>
  </si>
  <si>
    <t>Solver TimeLimit parameter</t>
  </si>
  <si>
    <t>Solver</t>
  </si>
  <si>
    <t>Gurobi 13.0.2</t>
  </si>
  <si>
    <t>Python API, academic license</t>
  </si>
  <si>
    <t>Source</t>
  </si>
  <si>
    <t>Parsed from 17 Our_Solution_DV.txt files</t>
  </si>
  <si>
    <t>Run of step2_our_solution_export_v3.py</t>
  </si>
  <si>
    <t>Step 2 Results: Our Solution (D.V. Values), Degradation-aware objective</t>
  </si>
  <si>
    <t xml:space="preserve">Objective = base_obj (crew activation + outsourcing) + theta_inst * sum(mean_V[i])  |  theta_base=0.194, Zbar_nodeg=1779.00  | rho ~ Triangular(0.30, 0.50, 0.70), 30 draws per job, seed 42, Lambda = 0.05  | Solver: Gurobi 13.0.2, TimeLimit = 600s, MIPGap = 0.01  |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</si>
</sst>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b/>
      <sz val="18"/>
      <color theme="0"/>
      <name val="Arial"/>
      <family val="2"/>
    </font>
    <font>
      <b/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i/>
      <sz val="10"/>
      <color theme="0"/>
      <name val="Arial"/>
      <family val="2"/>
    </font>
    <font>
      <b/>
      <sz val="16"/>
      <color rgb="FFFFFFFF"/>
      <name val="Times New Roman"/>
      <family val="1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3366"/>
      </patternFill>
    </fill>
  </fills>
  <borders count="2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2" xfId="0" applyFont="1" applyBorder="1"/>
    <xf numFmtId="4" fontId="1" fillId="0" borderId="2" xfId="0" applyNumberFormat="1" applyFont="1" applyBorder="1"/>
    <xf numFmtId="10" fontId="1" fillId="0" borderId="2" xfId="0" applyNumberFormat="1" applyFont="1" applyBorder="1"/>
    <xf numFmtId="2" fontId="1" fillId="0" borderId="2" xfId="0" applyNumberFormat="1" applyFont="1" applyBorder="1"/>
    <xf numFmtId="0" fontId="1" fillId="2" borderId="2" xfId="0" applyFont="1" applyFill="1" applyBorder="1"/>
    <xf numFmtId="4" fontId="1" fillId="2" borderId="2" xfId="0" applyNumberFormat="1" applyFont="1" applyFill="1" applyBorder="1"/>
    <xf numFmtId="10" fontId="1" fillId="2" borderId="2" xfId="0" applyNumberFormat="1" applyFont="1" applyFill="1" applyBorder="1"/>
    <xf numFmtId="2" fontId="1" fillId="2" borderId="2" xfId="0" applyNumberFormat="1" applyFont="1" applyFill="1" applyBorder="1"/>
    <xf numFmtId="0" fontId="1" fillId="0" borderId="10" xfId="0" applyFont="1" applyBorder="1"/>
    <xf numFmtId="4" fontId="1" fillId="0" borderId="10" xfId="0" applyNumberFormat="1" applyFont="1" applyBorder="1"/>
    <xf numFmtId="10" fontId="1" fillId="0" borderId="10" xfId="0" applyNumberFormat="1" applyFont="1" applyBorder="1"/>
    <xf numFmtId="2" fontId="1" fillId="0" borderId="10" xfId="0" applyNumberFormat="1" applyFont="1" applyBorder="1"/>
    <xf numFmtId="164" fontId="1" fillId="0" borderId="11" xfId="0" applyNumberFormat="1" applyFont="1" applyBorder="1"/>
    <xf numFmtId="164" fontId="1" fillId="0" borderId="13" xfId="0" applyNumberFormat="1" applyFont="1" applyBorder="1"/>
    <xf numFmtId="164" fontId="1" fillId="2" borderId="13" xfId="0" applyNumberFormat="1" applyFont="1" applyFill="1" applyBorder="1"/>
    <xf numFmtId="0" fontId="1" fillId="0" borderId="15" xfId="0" applyFont="1" applyBorder="1"/>
    <xf numFmtId="4" fontId="1" fillId="0" borderId="15" xfId="0" applyNumberFormat="1" applyFont="1" applyBorder="1"/>
    <xf numFmtId="10" fontId="1" fillId="0" borderId="15" xfId="0" applyNumberFormat="1" applyFont="1" applyBorder="1"/>
    <xf numFmtId="2" fontId="1" fillId="0" borderId="15" xfId="0" applyNumberFormat="1" applyFont="1" applyBorder="1"/>
    <xf numFmtId="164" fontId="1" fillId="0" borderId="16" xfId="0" applyNumberFormat="1" applyFont="1" applyBorder="1"/>
    <xf numFmtId="0" fontId="2" fillId="3" borderId="0" xfId="0" applyFont="1" applyFill="1"/>
    <xf numFmtId="4" fontId="2" fillId="3" borderId="0" xfId="0" applyNumberFormat="1" applyFont="1" applyFill="1"/>
    <xf numFmtId="2" fontId="2" fillId="3" borderId="0" xfId="0" applyNumberFormat="1" applyFont="1" applyFill="1"/>
    <xf numFmtId="164" fontId="2" fillId="3" borderId="0" xfId="0" applyNumberFormat="1" applyFont="1" applyFill="1"/>
    <xf numFmtId="0" fontId="1" fillId="4" borderId="2" xfId="0" applyFont="1" applyFill="1" applyBorder="1"/>
    <xf numFmtId="4" fontId="1" fillId="4" borderId="2" xfId="0" applyNumberFormat="1" applyFont="1" applyFill="1" applyBorder="1"/>
    <xf numFmtId="10" fontId="1" fillId="4" borderId="2" xfId="0" applyNumberFormat="1" applyFont="1" applyFill="1" applyBorder="1"/>
    <xf numFmtId="2" fontId="1" fillId="4" borderId="2" xfId="0" applyNumberFormat="1" applyFont="1" applyFill="1" applyBorder="1"/>
    <xf numFmtId="164" fontId="1" fillId="4" borderId="13" xfId="0" applyNumberFormat="1" applyFont="1" applyFill="1" applyBorder="1"/>
    <xf numFmtId="0" fontId="1" fillId="5" borderId="2" xfId="0" applyFont="1" applyFill="1" applyBorder="1"/>
    <xf numFmtId="4" fontId="1" fillId="5" borderId="2" xfId="0" applyNumberFormat="1" applyFont="1" applyFill="1" applyBorder="1"/>
    <xf numFmtId="10" fontId="1" fillId="5" borderId="2" xfId="0" applyNumberFormat="1" applyFont="1" applyFill="1" applyBorder="1"/>
    <xf numFmtId="2" fontId="1" fillId="5" borderId="2" xfId="0" applyNumberFormat="1" applyFont="1" applyFill="1" applyBorder="1"/>
    <xf numFmtId="164" fontId="1" fillId="5" borderId="13" xfId="0" applyNumberFormat="1" applyFont="1" applyFill="1" applyBorder="1"/>
    <xf numFmtId="0" fontId="2" fillId="6" borderId="8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10" fontId="2" fillId="6" borderId="8" xfId="0" applyNumberFormat="1" applyFont="1" applyFill="1" applyBorder="1"/>
    <xf numFmtId="10" fontId="2" fillId="6" borderId="3" xfId="0" applyNumberFormat="1" applyFont="1" applyFill="1" applyBorder="1"/>
    <xf numFmtId="10" fontId="2" fillId="6" borderId="4" xfId="0" applyNumberFormat="1" applyFont="1" applyFill="1" applyBorder="1"/>
    <xf numFmtId="0" fontId="2" fillId="0" borderId="9" xfId="0" applyFont="1" applyBorder="1"/>
    <xf numFmtId="0" fontId="2" fillId="0" borderId="12" xfId="0" applyFont="1" applyBorder="1"/>
    <xf numFmtId="0" fontId="2" fillId="2" borderId="12" xfId="0" applyFont="1" applyFill="1" applyBorder="1"/>
    <xf numFmtId="0" fontId="2" fillId="5" borderId="12" xfId="0" applyFont="1" applyFill="1" applyBorder="1"/>
    <xf numFmtId="0" fontId="2" fillId="4" borderId="12" xfId="0" applyFont="1" applyFill="1" applyBorder="1"/>
    <xf numFmtId="0" fontId="2" fillId="0" borderId="14" xfId="0" applyFont="1" applyBorder="1"/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zoomScaleNormal="100" workbookViewId="0">
      <pane ySplit="3" topLeftCell="A4" activePane="bottomLeft" state="frozen"/>
      <selection pane="bottomLeft" activeCell="W8" sqref="W8"/>
    </sheetView>
  </sheetViews>
  <sheetFormatPr defaultColWidth="8.7109375" defaultRowHeight="15" x14ac:dyDescent="0.25"/>
  <cols>
    <col min="1" max="1" width="7" customWidth="1"/>
    <col min="2" max="2" width="30" customWidth="1"/>
    <col min="3" max="17" width="12.140625" customWidth="1"/>
  </cols>
  <sheetData>
    <row r="1" spans="1:17" ht="40.5" customHeight="1" thickBot="1" x14ac:dyDescent="0.3">
      <c r="A1" s="47" t="s">
        <v>76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</row>
    <row r="2" spans="1:17" ht="28.5" customHeight="1" thickBot="1" x14ac:dyDescent="0.3">
      <c r="A2" s="50" t="s">
        <v>77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1:17" ht="34.5" customHeight="1" thickBot="1" x14ac:dyDescent="0.3">
      <c r="A3" s="53" t="s">
        <v>0</v>
      </c>
      <c r="B3" s="54" t="s">
        <v>1</v>
      </c>
      <c r="C3" s="54" t="s">
        <v>2</v>
      </c>
      <c r="D3" s="54" t="s">
        <v>3</v>
      </c>
      <c r="E3" s="54" t="s">
        <v>4</v>
      </c>
      <c r="F3" s="54" t="s">
        <v>5</v>
      </c>
      <c r="G3" s="54" t="s">
        <v>6</v>
      </c>
      <c r="H3" s="54" t="s">
        <v>7</v>
      </c>
      <c r="I3" s="54" t="s">
        <v>8</v>
      </c>
      <c r="J3" s="54" t="s">
        <v>9</v>
      </c>
      <c r="K3" s="54" t="s">
        <v>10</v>
      </c>
      <c r="L3" s="54" t="s">
        <v>11</v>
      </c>
      <c r="M3" s="54" t="s">
        <v>12</v>
      </c>
      <c r="N3" s="54" t="s">
        <v>13</v>
      </c>
      <c r="O3" s="54" t="s">
        <v>14</v>
      </c>
      <c r="P3" s="54" t="s">
        <v>15</v>
      </c>
      <c r="Q3" s="55" t="s">
        <v>16</v>
      </c>
    </row>
    <row r="4" spans="1:17" ht="23.25" customHeight="1" x14ac:dyDescent="0.25">
      <c r="A4" s="41">
        <v>1</v>
      </c>
      <c r="B4" s="9" t="s">
        <v>17</v>
      </c>
      <c r="C4" s="9">
        <v>150</v>
      </c>
      <c r="D4" s="9">
        <v>148</v>
      </c>
      <c r="E4" s="9">
        <v>120</v>
      </c>
      <c r="F4" s="9">
        <v>1848</v>
      </c>
      <c r="G4" s="10">
        <v>1843</v>
      </c>
      <c r="H4" s="11">
        <f t="shared" ref="H4:H20" si="0">(G4-F4)/F4</f>
        <v>-2.7056277056277055E-3</v>
      </c>
      <c r="I4" s="10">
        <v>348.61180000000002</v>
      </c>
      <c r="J4" s="10">
        <f t="shared" ref="J4:J20" si="1">G4+I4</f>
        <v>2191.6118000000001</v>
      </c>
      <c r="K4" s="11">
        <f t="shared" ref="K4:K20" si="2">I4/G4</f>
        <v>0.18915453065653826</v>
      </c>
      <c r="L4" s="12">
        <v>0</v>
      </c>
      <c r="M4" s="9" t="s">
        <v>18</v>
      </c>
      <c r="N4" s="9">
        <v>143</v>
      </c>
      <c r="O4" s="9">
        <f t="shared" ref="O4:O20" si="3">C4-N4</f>
        <v>7</v>
      </c>
      <c r="P4" s="9">
        <v>23</v>
      </c>
      <c r="Q4" s="13">
        <v>0.20097899999999999</v>
      </c>
    </row>
    <row r="5" spans="1:17" ht="23.25" customHeight="1" x14ac:dyDescent="0.25">
      <c r="A5" s="42">
        <v>2</v>
      </c>
      <c r="B5" s="1" t="s">
        <v>19</v>
      </c>
      <c r="C5" s="1">
        <v>150</v>
      </c>
      <c r="D5" s="1">
        <v>75</v>
      </c>
      <c r="E5" s="1">
        <v>129</v>
      </c>
      <c r="F5" s="1">
        <v>30</v>
      </c>
      <c r="G5" s="2">
        <v>24</v>
      </c>
      <c r="H5" s="3">
        <f t="shared" si="0"/>
        <v>-0.2</v>
      </c>
      <c r="I5" s="2">
        <v>4.8826000000000001</v>
      </c>
      <c r="J5" s="2">
        <f t="shared" si="1"/>
        <v>28.8826</v>
      </c>
      <c r="K5" s="3">
        <f t="shared" si="2"/>
        <v>0.20344166666666666</v>
      </c>
      <c r="L5" s="4">
        <v>0</v>
      </c>
      <c r="M5" s="1" t="s">
        <v>18</v>
      </c>
      <c r="N5" s="1">
        <v>150</v>
      </c>
      <c r="O5" s="1">
        <f t="shared" si="3"/>
        <v>0</v>
      </c>
      <c r="P5" s="1">
        <v>24</v>
      </c>
      <c r="Q5" s="14">
        <v>2.617E-3</v>
      </c>
    </row>
    <row r="6" spans="1:17" ht="23.25" customHeight="1" x14ac:dyDescent="0.25">
      <c r="A6" s="42">
        <v>3</v>
      </c>
      <c r="B6" s="1" t="s">
        <v>20</v>
      </c>
      <c r="C6" s="1">
        <v>150</v>
      </c>
      <c r="D6" s="1">
        <v>102</v>
      </c>
      <c r="E6" s="1">
        <v>91</v>
      </c>
      <c r="F6" s="1">
        <v>3273</v>
      </c>
      <c r="G6" s="2">
        <v>3273</v>
      </c>
      <c r="H6" s="3">
        <f t="shared" si="0"/>
        <v>0</v>
      </c>
      <c r="I6" s="2">
        <v>887.81719999999996</v>
      </c>
      <c r="J6" s="2">
        <f t="shared" si="1"/>
        <v>4160.8171999999995</v>
      </c>
      <c r="K6" s="3">
        <f t="shared" si="2"/>
        <v>0.27125487320501068</v>
      </c>
      <c r="L6" s="4">
        <v>0</v>
      </c>
      <c r="M6" s="1" t="s">
        <v>18</v>
      </c>
      <c r="N6" s="1">
        <v>149</v>
      </c>
      <c r="O6" s="1">
        <f t="shared" si="3"/>
        <v>1</v>
      </c>
      <c r="P6" s="1">
        <v>27</v>
      </c>
      <c r="Q6" s="14">
        <v>0.35692099999999999</v>
      </c>
    </row>
    <row r="7" spans="1:17" ht="23.25" customHeight="1" x14ac:dyDescent="0.25">
      <c r="A7" s="42">
        <v>4</v>
      </c>
      <c r="B7" s="1" t="s">
        <v>21</v>
      </c>
      <c r="C7" s="1">
        <v>150</v>
      </c>
      <c r="D7" s="1">
        <v>57</v>
      </c>
      <c r="E7" s="1">
        <v>126</v>
      </c>
      <c r="F7" s="1">
        <v>24</v>
      </c>
      <c r="G7" s="2">
        <v>15</v>
      </c>
      <c r="H7" s="3">
        <f t="shared" si="0"/>
        <v>-0.375</v>
      </c>
      <c r="I7" s="2">
        <v>0.67759999999999998</v>
      </c>
      <c r="J7" s="2">
        <f t="shared" si="1"/>
        <v>15.6776</v>
      </c>
      <c r="K7" s="3">
        <f t="shared" si="2"/>
        <v>4.5173333333333329E-2</v>
      </c>
      <c r="L7" s="4">
        <v>0</v>
      </c>
      <c r="M7" s="1" t="s">
        <v>18</v>
      </c>
      <c r="N7" s="1">
        <v>150</v>
      </c>
      <c r="O7" s="1">
        <f t="shared" si="3"/>
        <v>0</v>
      </c>
      <c r="P7" s="1">
        <v>15</v>
      </c>
      <c r="Q7" s="14">
        <v>1.6360000000000001E-3</v>
      </c>
    </row>
    <row r="8" spans="1:17" ht="23.25" customHeight="1" x14ac:dyDescent="0.25">
      <c r="A8" s="42">
        <v>5</v>
      </c>
      <c r="B8" s="1" t="s">
        <v>22</v>
      </c>
      <c r="C8" s="1">
        <v>150</v>
      </c>
      <c r="D8" s="1">
        <v>92</v>
      </c>
      <c r="E8" s="1">
        <v>93</v>
      </c>
      <c r="F8" s="1">
        <v>49</v>
      </c>
      <c r="G8" s="2">
        <v>49</v>
      </c>
      <c r="H8" s="3">
        <f t="shared" si="0"/>
        <v>0</v>
      </c>
      <c r="I8" s="2">
        <v>9.3711000000000002</v>
      </c>
      <c r="J8" s="2">
        <f t="shared" si="1"/>
        <v>58.371099999999998</v>
      </c>
      <c r="K8" s="3">
        <f t="shared" si="2"/>
        <v>0.19124693877551022</v>
      </c>
      <c r="L8" s="4">
        <v>0</v>
      </c>
      <c r="M8" s="1" t="s">
        <v>18</v>
      </c>
      <c r="N8" s="1">
        <v>150</v>
      </c>
      <c r="O8" s="1">
        <f t="shared" si="3"/>
        <v>0</v>
      </c>
      <c r="P8" s="1">
        <v>49</v>
      </c>
      <c r="Q8" s="14">
        <v>5.3429999999999997E-3</v>
      </c>
    </row>
    <row r="9" spans="1:17" ht="23.25" customHeight="1" x14ac:dyDescent="0.25">
      <c r="A9" s="42">
        <v>6</v>
      </c>
      <c r="B9" s="1" t="s">
        <v>23</v>
      </c>
      <c r="C9" s="1">
        <v>150</v>
      </c>
      <c r="D9" s="1">
        <v>71</v>
      </c>
      <c r="E9" s="1">
        <v>101</v>
      </c>
      <c r="F9" s="1">
        <v>106</v>
      </c>
      <c r="G9" s="2">
        <v>104</v>
      </c>
      <c r="H9" s="3">
        <f t="shared" si="0"/>
        <v>-1.8867924528301886E-2</v>
      </c>
      <c r="I9" s="2">
        <v>66.867099999999994</v>
      </c>
      <c r="J9" s="2">
        <f t="shared" si="1"/>
        <v>170.86709999999999</v>
      </c>
      <c r="K9" s="3">
        <f t="shared" si="2"/>
        <v>0.64295288461538458</v>
      </c>
      <c r="L9" s="4">
        <v>0</v>
      </c>
      <c r="M9" s="1" t="s">
        <v>18</v>
      </c>
      <c r="N9" s="1">
        <v>149</v>
      </c>
      <c r="O9" s="1">
        <f t="shared" si="3"/>
        <v>1</v>
      </c>
      <c r="P9" s="1">
        <v>32</v>
      </c>
      <c r="Q9" s="14">
        <v>1.1341E-2</v>
      </c>
    </row>
    <row r="10" spans="1:17" ht="23.25" customHeight="1" x14ac:dyDescent="0.25">
      <c r="A10" s="43">
        <v>7</v>
      </c>
      <c r="B10" s="5" t="s">
        <v>24</v>
      </c>
      <c r="C10" s="5">
        <v>300</v>
      </c>
      <c r="D10" s="5">
        <v>158</v>
      </c>
      <c r="E10" s="5">
        <v>179</v>
      </c>
      <c r="F10" s="5">
        <v>1931</v>
      </c>
      <c r="G10" s="6">
        <v>1925</v>
      </c>
      <c r="H10" s="7">
        <f t="shared" si="0"/>
        <v>-3.1071983428275505E-3</v>
      </c>
      <c r="I10" s="6">
        <v>712.77200000000005</v>
      </c>
      <c r="J10" s="6">
        <f t="shared" si="1"/>
        <v>2637.7719999999999</v>
      </c>
      <c r="K10" s="7">
        <f t="shared" si="2"/>
        <v>0.37027116883116884</v>
      </c>
      <c r="L10" s="8">
        <v>0</v>
      </c>
      <c r="M10" s="5" t="s">
        <v>18</v>
      </c>
      <c r="N10" s="5">
        <v>293</v>
      </c>
      <c r="O10" s="5">
        <f t="shared" si="3"/>
        <v>7</v>
      </c>
      <c r="P10" s="5">
        <v>37</v>
      </c>
      <c r="Q10" s="15">
        <v>0.209921</v>
      </c>
    </row>
    <row r="11" spans="1:17" ht="23.25" customHeight="1" x14ac:dyDescent="0.25">
      <c r="A11" s="44">
        <v>8</v>
      </c>
      <c r="B11" s="30" t="s">
        <v>25</v>
      </c>
      <c r="C11" s="30">
        <v>300</v>
      </c>
      <c r="D11" s="30">
        <v>221</v>
      </c>
      <c r="E11" s="30">
        <v>239</v>
      </c>
      <c r="F11" s="30">
        <v>2451</v>
      </c>
      <c r="G11" s="31">
        <v>2445</v>
      </c>
      <c r="H11" s="32">
        <f t="shared" si="0"/>
        <v>-2.4479804161566705E-3</v>
      </c>
      <c r="I11" s="31">
        <v>905.96360000000004</v>
      </c>
      <c r="J11" s="31">
        <f t="shared" si="1"/>
        <v>3350.9636</v>
      </c>
      <c r="K11" s="32">
        <f t="shared" si="2"/>
        <v>0.37053725971370144</v>
      </c>
      <c r="L11" s="33">
        <v>13.9064</v>
      </c>
      <c r="M11" s="30" t="s">
        <v>26</v>
      </c>
      <c r="N11" s="30">
        <v>284</v>
      </c>
      <c r="O11" s="30">
        <f t="shared" si="3"/>
        <v>16</v>
      </c>
      <c r="P11" s="30">
        <v>45</v>
      </c>
      <c r="Q11" s="34">
        <v>0.266627</v>
      </c>
    </row>
    <row r="12" spans="1:17" ht="23.25" customHeight="1" x14ac:dyDescent="0.25">
      <c r="A12" s="43">
        <v>9</v>
      </c>
      <c r="B12" s="5" t="s">
        <v>27</v>
      </c>
      <c r="C12" s="5">
        <v>300</v>
      </c>
      <c r="D12" s="5">
        <v>112</v>
      </c>
      <c r="E12" s="5">
        <v>177</v>
      </c>
      <c r="F12" s="5">
        <v>3359</v>
      </c>
      <c r="G12" s="6">
        <v>3359</v>
      </c>
      <c r="H12" s="7">
        <f t="shared" si="0"/>
        <v>0</v>
      </c>
      <c r="I12" s="6">
        <v>5357.6040999999996</v>
      </c>
      <c r="J12" s="6">
        <f t="shared" si="1"/>
        <v>8716.6041000000005</v>
      </c>
      <c r="K12" s="7">
        <f t="shared" si="2"/>
        <v>1.594999732063114</v>
      </c>
      <c r="L12" s="8">
        <v>0</v>
      </c>
      <c r="M12" s="5" t="s">
        <v>18</v>
      </c>
      <c r="N12" s="5">
        <v>298</v>
      </c>
      <c r="O12" s="5">
        <f t="shared" si="3"/>
        <v>2</v>
      </c>
      <c r="P12" s="5">
        <v>41</v>
      </c>
      <c r="Q12" s="15">
        <v>0.36629899999999999</v>
      </c>
    </row>
    <row r="13" spans="1:17" ht="23.25" customHeight="1" x14ac:dyDescent="0.25">
      <c r="A13" s="43">
        <v>10</v>
      </c>
      <c r="B13" s="5" t="s">
        <v>28</v>
      </c>
      <c r="C13" s="5">
        <v>300</v>
      </c>
      <c r="D13" s="5">
        <v>75</v>
      </c>
      <c r="E13" s="5">
        <v>181</v>
      </c>
      <c r="F13" s="5">
        <v>35</v>
      </c>
      <c r="G13" s="6">
        <v>20</v>
      </c>
      <c r="H13" s="7">
        <f t="shared" si="0"/>
        <v>-0.42857142857142855</v>
      </c>
      <c r="I13" s="6">
        <v>11.7277</v>
      </c>
      <c r="J13" s="6">
        <f t="shared" si="1"/>
        <v>31.727699999999999</v>
      </c>
      <c r="K13" s="7">
        <f t="shared" si="2"/>
        <v>0.58638500000000005</v>
      </c>
      <c r="L13" s="8">
        <v>0</v>
      </c>
      <c r="M13" s="5" t="s">
        <v>18</v>
      </c>
      <c r="N13" s="5">
        <v>300</v>
      </c>
      <c r="O13" s="5">
        <f t="shared" si="3"/>
        <v>0</v>
      </c>
      <c r="P13" s="5">
        <v>20</v>
      </c>
      <c r="Q13" s="15">
        <v>2.1810000000000002E-3</v>
      </c>
    </row>
    <row r="14" spans="1:17" ht="23.25" customHeight="1" x14ac:dyDescent="0.25">
      <c r="A14" s="43">
        <v>11</v>
      </c>
      <c r="B14" s="5" t="s">
        <v>29</v>
      </c>
      <c r="C14" s="5">
        <v>300</v>
      </c>
      <c r="D14" s="5">
        <v>121</v>
      </c>
      <c r="E14" s="5">
        <v>162</v>
      </c>
      <c r="F14" s="5">
        <v>65</v>
      </c>
      <c r="G14" s="6">
        <v>64</v>
      </c>
      <c r="H14" s="7">
        <f t="shared" si="0"/>
        <v>-1.5384615384615385E-2</v>
      </c>
      <c r="I14" s="6">
        <v>41.035899999999998</v>
      </c>
      <c r="J14" s="6">
        <f t="shared" si="1"/>
        <v>105.0359</v>
      </c>
      <c r="K14" s="7">
        <f t="shared" si="2"/>
        <v>0.64118593749999997</v>
      </c>
      <c r="L14" s="8">
        <v>0</v>
      </c>
      <c r="M14" s="5" t="s">
        <v>18</v>
      </c>
      <c r="N14" s="5">
        <v>300</v>
      </c>
      <c r="O14" s="5">
        <f t="shared" si="3"/>
        <v>0</v>
      </c>
      <c r="P14" s="5">
        <v>64</v>
      </c>
      <c r="Q14" s="15">
        <v>6.979E-3</v>
      </c>
    </row>
    <row r="15" spans="1:17" ht="23.25" customHeight="1" x14ac:dyDescent="0.25">
      <c r="A15" s="43">
        <v>12</v>
      </c>
      <c r="B15" s="5" t="s">
        <v>30</v>
      </c>
      <c r="C15" s="5">
        <v>300</v>
      </c>
      <c r="D15" s="5">
        <v>119</v>
      </c>
      <c r="E15" s="5">
        <v>176</v>
      </c>
      <c r="F15" s="5">
        <v>308</v>
      </c>
      <c r="G15" s="6">
        <v>304</v>
      </c>
      <c r="H15" s="7">
        <f t="shared" si="0"/>
        <v>-1.2987012987012988E-2</v>
      </c>
      <c r="I15" s="6">
        <v>334.10969999999998</v>
      </c>
      <c r="J15" s="6">
        <f t="shared" si="1"/>
        <v>638.10969999999998</v>
      </c>
      <c r="K15" s="7">
        <f t="shared" si="2"/>
        <v>1.0990450657894737</v>
      </c>
      <c r="L15" s="8">
        <v>0</v>
      </c>
      <c r="M15" s="5" t="s">
        <v>18</v>
      </c>
      <c r="N15" s="5">
        <v>297</v>
      </c>
      <c r="O15" s="5">
        <f t="shared" si="3"/>
        <v>3</v>
      </c>
      <c r="P15" s="5">
        <v>37</v>
      </c>
      <c r="Q15" s="15">
        <v>3.3151E-2</v>
      </c>
    </row>
    <row r="16" spans="1:17" ht="23.25" customHeight="1" x14ac:dyDescent="0.25">
      <c r="A16" s="45">
        <v>13</v>
      </c>
      <c r="B16" s="25" t="s">
        <v>31</v>
      </c>
      <c r="C16" s="25">
        <v>600</v>
      </c>
      <c r="D16" s="25">
        <v>165</v>
      </c>
      <c r="E16" s="25">
        <v>329</v>
      </c>
      <c r="F16" s="25">
        <v>4494</v>
      </c>
      <c r="G16" s="26">
        <v>4480</v>
      </c>
      <c r="H16" s="27">
        <f t="shared" si="0"/>
        <v>-3.1152647975077881E-3</v>
      </c>
      <c r="I16" s="26">
        <v>8247.9120999999996</v>
      </c>
      <c r="J16" s="26">
        <f t="shared" si="1"/>
        <v>12727.9121</v>
      </c>
      <c r="K16" s="27">
        <f t="shared" si="2"/>
        <v>1.8410518080357141</v>
      </c>
      <c r="L16" s="28">
        <v>6.2304000000000004</v>
      </c>
      <c r="M16" s="25" t="s">
        <v>26</v>
      </c>
      <c r="N16" s="25">
        <v>580</v>
      </c>
      <c r="O16" s="25">
        <f t="shared" si="3"/>
        <v>20</v>
      </c>
      <c r="P16" s="25">
        <v>46</v>
      </c>
      <c r="Q16" s="29">
        <v>0.48854399999999998</v>
      </c>
    </row>
    <row r="17" spans="1:17" ht="23.25" customHeight="1" x14ac:dyDescent="0.25">
      <c r="A17" s="45">
        <v>14</v>
      </c>
      <c r="B17" s="25" t="s">
        <v>32</v>
      </c>
      <c r="C17" s="25">
        <v>600</v>
      </c>
      <c r="D17" s="25">
        <v>256</v>
      </c>
      <c r="E17" s="25">
        <v>388</v>
      </c>
      <c r="F17" s="25">
        <v>3380</v>
      </c>
      <c r="G17" s="26">
        <v>3340</v>
      </c>
      <c r="H17" s="27">
        <f t="shared" si="0"/>
        <v>-1.1834319526627219E-2</v>
      </c>
      <c r="I17" s="26">
        <v>5163.5905000000002</v>
      </c>
      <c r="J17" s="26">
        <f t="shared" si="1"/>
        <v>8503.5905000000002</v>
      </c>
      <c r="K17" s="27">
        <f t="shared" si="2"/>
        <v>1.5459851796407187</v>
      </c>
      <c r="L17" s="28">
        <v>15.958</v>
      </c>
      <c r="M17" s="25" t="s">
        <v>26</v>
      </c>
      <c r="N17" s="25">
        <v>570</v>
      </c>
      <c r="O17" s="25">
        <f t="shared" si="3"/>
        <v>30</v>
      </c>
      <c r="P17" s="25">
        <v>47</v>
      </c>
      <c r="Q17" s="29">
        <v>0.36422700000000002</v>
      </c>
    </row>
    <row r="18" spans="1:17" ht="23.25" customHeight="1" x14ac:dyDescent="0.25">
      <c r="A18" s="42">
        <v>15</v>
      </c>
      <c r="B18" s="1" t="s">
        <v>33</v>
      </c>
      <c r="C18" s="1">
        <v>600</v>
      </c>
      <c r="D18" s="1">
        <v>120</v>
      </c>
      <c r="E18" s="1">
        <v>288</v>
      </c>
      <c r="F18" s="1">
        <v>8576</v>
      </c>
      <c r="G18" s="2">
        <v>8567</v>
      </c>
      <c r="H18" s="3">
        <f t="shared" si="0"/>
        <v>-1.0494402985074627E-3</v>
      </c>
      <c r="I18" s="2">
        <v>21639.8305</v>
      </c>
      <c r="J18" s="2">
        <f t="shared" si="1"/>
        <v>30206.8305</v>
      </c>
      <c r="K18" s="3">
        <f t="shared" si="2"/>
        <v>2.5259519668495387</v>
      </c>
      <c r="L18" s="4">
        <v>0.95340000000000003</v>
      </c>
      <c r="M18" s="1" t="s">
        <v>18</v>
      </c>
      <c r="N18" s="1">
        <v>583</v>
      </c>
      <c r="O18" s="1">
        <f t="shared" si="3"/>
        <v>17</v>
      </c>
      <c r="P18" s="1">
        <v>43</v>
      </c>
      <c r="Q18" s="14">
        <v>0.93423199999999995</v>
      </c>
    </row>
    <row r="19" spans="1:17" ht="23.25" customHeight="1" x14ac:dyDescent="0.25">
      <c r="A19" s="42">
        <v>16</v>
      </c>
      <c r="B19" s="1" t="s">
        <v>34</v>
      </c>
      <c r="C19" s="1">
        <v>600</v>
      </c>
      <c r="D19" s="1">
        <v>77</v>
      </c>
      <c r="E19" s="1">
        <v>215</v>
      </c>
      <c r="F19" s="1">
        <v>37</v>
      </c>
      <c r="G19" s="2">
        <v>23</v>
      </c>
      <c r="H19" s="3">
        <f t="shared" si="0"/>
        <v>-0.3783783783783784</v>
      </c>
      <c r="I19" s="2">
        <v>14.0062</v>
      </c>
      <c r="J19" s="2">
        <f t="shared" si="1"/>
        <v>37.0062</v>
      </c>
      <c r="K19" s="3">
        <f t="shared" si="2"/>
        <v>0.60896521739130438</v>
      </c>
      <c r="L19" s="4">
        <v>0</v>
      </c>
      <c r="M19" s="1" t="s">
        <v>18</v>
      </c>
      <c r="N19" s="1">
        <v>600</v>
      </c>
      <c r="O19" s="1">
        <f t="shared" si="3"/>
        <v>0</v>
      </c>
      <c r="P19" s="1">
        <v>23</v>
      </c>
      <c r="Q19" s="14">
        <v>2.5079999999999998E-3</v>
      </c>
    </row>
    <row r="20" spans="1:17" ht="23.25" customHeight="1" thickBot="1" x14ac:dyDescent="0.3">
      <c r="A20" s="46">
        <v>17</v>
      </c>
      <c r="B20" s="16" t="s">
        <v>35</v>
      </c>
      <c r="C20" s="16">
        <v>600</v>
      </c>
      <c r="D20" s="16">
        <v>126</v>
      </c>
      <c r="E20" s="16">
        <v>279</v>
      </c>
      <c r="F20" s="16">
        <v>410</v>
      </c>
      <c r="G20" s="17">
        <v>408</v>
      </c>
      <c r="H20" s="18">
        <f t="shared" si="0"/>
        <v>-4.8780487804878049E-3</v>
      </c>
      <c r="I20" s="17">
        <v>429.68990000000002</v>
      </c>
      <c r="J20" s="17">
        <f t="shared" si="1"/>
        <v>837.68990000000008</v>
      </c>
      <c r="K20" s="18">
        <f t="shared" si="2"/>
        <v>1.0531615196078432</v>
      </c>
      <c r="L20" s="19">
        <v>0</v>
      </c>
      <c r="M20" s="16" t="s">
        <v>18</v>
      </c>
      <c r="N20" s="16">
        <v>598</v>
      </c>
      <c r="O20" s="16">
        <f t="shared" si="3"/>
        <v>2</v>
      </c>
      <c r="P20" s="16">
        <v>65</v>
      </c>
      <c r="Q20" s="20">
        <v>4.4491999999999997E-2</v>
      </c>
    </row>
    <row r="21" spans="1:17" ht="25.5" customHeight="1" x14ac:dyDescent="0.25">
      <c r="A21" s="21"/>
      <c r="B21" s="35" t="s">
        <v>36</v>
      </c>
      <c r="C21" s="21"/>
      <c r="D21" s="21"/>
      <c r="E21" s="21"/>
      <c r="F21" s="21"/>
      <c r="G21" s="22"/>
      <c r="H21" s="38">
        <f>AVERAGEIF($C$4:$C$20,150,$H$4:$H$20)</f>
        <v>-9.9428925372321605E-2</v>
      </c>
      <c r="I21" s="22"/>
      <c r="J21" s="22"/>
      <c r="K21" s="38">
        <f>AVERAGEIF($C$4:$C$20,150,$K$4:$K$20)</f>
        <v>0.2572040378754073</v>
      </c>
      <c r="L21" s="23"/>
      <c r="M21" s="21"/>
      <c r="N21" s="21"/>
      <c r="O21" s="21"/>
      <c r="P21" s="21"/>
      <c r="Q21" s="24"/>
    </row>
    <row r="22" spans="1:17" ht="25.5" customHeight="1" x14ac:dyDescent="0.25">
      <c r="A22" s="21"/>
      <c r="B22" s="36" t="s">
        <v>37</v>
      </c>
      <c r="C22" s="21"/>
      <c r="D22" s="21"/>
      <c r="E22" s="21"/>
      <c r="F22" s="21"/>
      <c r="G22" s="22"/>
      <c r="H22" s="39">
        <f>AVERAGEIF($C$4:$C$20,300,$H$4:$H$20)</f>
        <v>-7.7083039283673521E-2</v>
      </c>
      <c r="I22" s="22"/>
      <c r="J22" s="22"/>
      <c r="K22" s="39">
        <f>AVERAGEIF($C$4:$C$20,300,$K$4:$K$20)</f>
        <v>0.77707069398290962</v>
      </c>
      <c r="L22" s="23"/>
      <c r="M22" s="21"/>
      <c r="N22" s="21"/>
      <c r="O22" s="21"/>
      <c r="P22" s="21"/>
      <c r="Q22" s="24"/>
    </row>
    <row r="23" spans="1:17" ht="25.5" customHeight="1" x14ac:dyDescent="0.25">
      <c r="A23" s="21"/>
      <c r="B23" s="36" t="s">
        <v>38</v>
      </c>
      <c r="C23" s="21"/>
      <c r="D23" s="21"/>
      <c r="E23" s="21"/>
      <c r="F23" s="21"/>
      <c r="G23" s="22"/>
      <c r="H23" s="39">
        <f>AVERAGEIF($C$4:$C$20,600,$H$4:$H$20)</f>
        <v>-7.9851090356301738E-2</v>
      </c>
      <c r="I23" s="22"/>
      <c r="J23" s="22"/>
      <c r="K23" s="39">
        <f>AVERAGEIF($C$4:$C$20,600,$K$4:$K$20)</f>
        <v>1.5150231383050239</v>
      </c>
      <c r="L23" s="23"/>
      <c r="M23" s="21"/>
      <c r="N23" s="21"/>
      <c r="O23" s="21"/>
      <c r="P23" s="21"/>
      <c r="Q23" s="24"/>
    </row>
    <row r="24" spans="1:17" ht="25.5" customHeight="1" thickBot="1" x14ac:dyDescent="0.3">
      <c r="A24" s="21"/>
      <c r="B24" s="37" t="s">
        <v>39</v>
      </c>
      <c r="C24" s="21"/>
      <c r="D24" s="21"/>
      <c r="E24" s="21"/>
      <c r="F24" s="21"/>
      <c r="G24" s="22"/>
      <c r="H24" s="40">
        <f>AVERAGE(H4:H20)</f>
        <v>-8.5783955277498783E-2</v>
      </c>
      <c r="I24" s="22"/>
      <c r="J24" s="22"/>
      <c r="K24" s="40">
        <f>AVERAGE(K4:K20)</f>
        <v>0.81063318133382467</v>
      </c>
      <c r="L24" s="23"/>
      <c r="M24" s="21"/>
      <c r="N24" s="21"/>
      <c r="O24" s="21"/>
      <c r="P24" s="21"/>
      <c r="Q24" s="24"/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zoomScaleNormal="100" workbookViewId="0">
      <selection activeCell="I9" sqref="I9"/>
    </sheetView>
  </sheetViews>
  <sheetFormatPr defaultColWidth="8.7109375" defaultRowHeight="15" x14ac:dyDescent="0.25"/>
  <cols>
    <col min="1" max="1" width="26" customWidth="1"/>
    <col min="2" max="2" width="38" customWidth="1"/>
    <col min="3" max="3" width="66.5703125" customWidth="1"/>
  </cols>
  <sheetData>
    <row r="1" spans="1:3" ht="36" customHeight="1" x14ac:dyDescent="0.25">
      <c r="A1" s="56" t="s">
        <v>40</v>
      </c>
      <c r="B1" s="56" t="s">
        <v>41</v>
      </c>
      <c r="C1" s="56" t="s">
        <v>42</v>
      </c>
    </row>
    <row r="2" spans="1:3" ht="31.5" customHeight="1" x14ac:dyDescent="0.25">
      <c r="A2" s="57" t="s">
        <v>43</v>
      </c>
      <c r="B2" s="57" t="s">
        <v>44</v>
      </c>
      <c r="C2" s="57" t="s">
        <v>45</v>
      </c>
    </row>
    <row r="3" spans="1:3" ht="31.5" customHeight="1" x14ac:dyDescent="0.25">
      <c r="A3" s="57" t="s">
        <v>46</v>
      </c>
      <c r="B3" s="57" t="s">
        <v>47</v>
      </c>
      <c r="C3" s="57" t="s">
        <v>48</v>
      </c>
    </row>
    <row r="4" spans="1:3" ht="31.5" customHeight="1" x14ac:dyDescent="0.25">
      <c r="A4" s="57" t="s">
        <v>49</v>
      </c>
      <c r="B4" s="57">
        <v>30</v>
      </c>
      <c r="C4" s="57" t="s">
        <v>50</v>
      </c>
    </row>
    <row r="5" spans="1:3" ht="31.5" customHeight="1" x14ac:dyDescent="0.25">
      <c r="A5" s="57" t="s">
        <v>51</v>
      </c>
      <c r="B5" s="57">
        <v>0.05</v>
      </c>
      <c r="C5" s="57" t="s">
        <v>52</v>
      </c>
    </row>
    <row r="6" spans="1:3" ht="31.5" customHeight="1" x14ac:dyDescent="0.25">
      <c r="A6" s="57" t="s">
        <v>53</v>
      </c>
      <c r="B6" s="57">
        <v>52</v>
      </c>
      <c r="C6" s="57" t="s">
        <v>54</v>
      </c>
    </row>
    <row r="7" spans="1:3" ht="31.5" customHeight="1" x14ac:dyDescent="0.25">
      <c r="A7" s="57" t="s">
        <v>55</v>
      </c>
      <c r="B7" s="57" t="s">
        <v>56</v>
      </c>
      <c r="C7" s="57" t="s">
        <v>57</v>
      </c>
    </row>
    <row r="8" spans="1:3" ht="31.5" customHeight="1" x14ac:dyDescent="0.25">
      <c r="A8" s="57" t="s">
        <v>58</v>
      </c>
      <c r="B8" s="57">
        <v>0.19400000000000001</v>
      </c>
      <c r="C8" s="57" t="s">
        <v>59</v>
      </c>
    </row>
    <row r="9" spans="1:3" ht="31.5" customHeight="1" x14ac:dyDescent="0.25">
      <c r="A9" s="57" t="s">
        <v>60</v>
      </c>
      <c r="B9" s="57">
        <v>1786.5</v>
      </c>
      <c r="C9" s="57" t="s">
        <v>61</v>
      </c>
    </row>
    <row r="10" spans="1:3" ht="31.5" customHeight="1" x14ac:dyDescent="0.25">
      <c r="A10" s="57" t="s">
        <v>16</v>
      </c>
      <c r="B10" s="57" t="s">
        <v>62</v>
      </c>
      <c r="C10" s="57" t="s">
        <v>63</v>
      </c>
    </row>
    <row r="11" spans="1:3" ht="31.5" customHeight="1" x14ac:dyDescent="0.25">
      <c r="A11" s="57" t="s">
        <v>64</v>
      </c>
      <c r="B11" s="57" t="s">
        <v>65</v>
      </c>
      <c r="C11" s="57" t="s">
        <v>66</v>
      </c>
    </row>
    <row r="12" spans="1:3" ht="31.5" customHeight="1" x14ac:dyDescent="0.25">
      <c r="A12" s="57" t="s">
        <v>67</v>
      </c>
      <c r="B12" s="57" t="s">
        <v>68</v>
      </c>
      <c r="C12" s="57" t="s">
        <v>69</v>
      </c>
    </row>
    <row r="13" spans="1:3" ht="31.5" customHeight="1" x14ac:dyDescent="0.25">
      <c r="A13" s="57" t="s">
        <v>70</v>
      </c>
      <c r="B13" s="57" t="s">
        <v>71</v>
      </c>
      <c r="C13" s="57" t="s">
        <v>72</v>
      </c>
    </row>
    <row r="14" spans="1:3" ht="31.5" customHeight="1" x14ac:dyDescent="0.25">
      <c r="A14" s="57" t="s">
        <v>73</v>
      </c>
      <c r="B14" s="57" t="s">
        <v>74</v>
      </c>
      <c r="C14" s="57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2 Results</vt:lpstr>
      <vt:lpstr>Run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Mac-Arthur Doetein</cp:lastModifiedBy>
  <cp:revision>0</cp:revision>
  <dcterms:created xsi:type="dcterms:W3CDTF">2026-07-19T04:06:36Z</dcterms:created>
  <dcterms:modified xsi:type="dcterms:W3CDTF">2026-07-19T04:58:03Z</dcterms:modified>
  <dc:language>en-US</dc:language>
</cp:coreProperties>
</file>