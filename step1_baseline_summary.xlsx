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oete\OneDrive\Desktop\New Degradation Aware Run\"/>
    </mc:Choice>
  </mc:AlternateContent>
  <xr:revisionPtr revIDLastSave="0" documentId="13_ncr:1_{8907D918-9689-4C28-82CC-1B1A9BB2CFE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elho's Baseline Results" sheetId="1" r:id="rId1"/>
    <sheet name="Run Parameter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4" i="1" l="1"/>
  <c r="H23" i="1"/>
  <c r="H22" i="1"/>
  <c r="H21" i="1"/>
  <c r="M20" i="1"/>
  <c r="H20" i="1"/>
  <c r="M19" i="1"/>
  <c r="H19" i="1"/>
  <c r="M18" i="1"/>
  <c r="H18" i="1"/>
  <c r="M17" i="1"/>
  <c r="H17" i="1"/>
  <c r="M16" i="1"/>
  <c r="H16" i="1"/>
  <c r="M15" i="1"/>
  <c r="H15" i="1"/>
  <c r="M14" i="1"/>
  <c r="H14" i="1"/>
  <c r="M13" i="1"/>
  <c r="H13" i="1"/>
  <c r="M12" i="1"/>
  <c r="H12" i="1"/>
  <c r="M11" i="1"/>
  <c r="H11" i="1"/>
  <c r="M10" i="1"/>
  <c r="H10" i="1"/>
  <c r="M9" i="1"/>
  <c r="H9" i="1"/>
  <c r="M8" i="1"/>
  <c r="H8" i="1"/>
  <c r="M7" i="1"/>
  <c r="H7" i="1"/>
  <c r="M6" i="1"/>
  <c r="H6" i="1"/>
  <c r="M5" i="1"/>
  <c r="H5" i="1"/>
  <c r="M4" i="1"/>
  <c r="H4" i="1"/>
</calcChain>
</file>

<file path=xl/sharedStrings.xml><?xml version="1.0" encoding="utf-8"?>
<sst xmlns="http://schemas.openxmlformats.org/spreadsheetml/2006/main" count="87" uniqueCount="72">
  <si>
    <t>Step 1 Results: Coelho's Solution (D.V. Values), theta = 0, Perfect Maintenance</t>
  </si>
  <si>
    <t xml:space="preserve">Baseline: Coelho et al. (2025) BKV &amp; Instasnces |  Solver: Gurobi 13.0.2, TimeLimit = 600s, MIP Gap = 0.01  | </t>
  </si>
  <si>
    <t>Inst ID</t>
  </si>
  <si>
    <t>Instance</t>
  </si>
  <si>
    <t>N (jobs)</t>
  </si>
  <si>
    <t>M (crews)</t>
  </si>
  <si>
    <t>Q (machines)</t>
  </si>
  <si>
    <t>BKV (Coelho 2025)</t>
  </si>
  <si>
    <t>Gurobi Objective</t>
  </si>
  <si>
    <t>RPD vs BKV</t>
  </si>
  <si>
    <t>MIP Gap (%)</t>
  </si>
  <si>
    <t>Runtime (s)</t>
  </si>
  <si>
    <t>Status</t>
  </si>
  <si>
    <t>Jobs Assigned</t>
  </si>
  <si>
    <t>Jobs Outsourced</t>
  </si>
  <si>
    <t>Crews Activated</t>
  </si>
  <si>
    <t>LTPMSP_01_00150_00148_00120</t>
  </si>
  <si>
    <t>OPTIMAL</t>
  </si>
  <si>
    <t>LTPMSP_02_00150_00075_00129</t>
  </si>
  <si>
    <t>LTPMSP_03_00150_00102_00091</t>
  </si>
  <si>
    <t>LTPMSP_04_00150_00057_00126</t>
  </si>
  <si>
    <t>LTPMSP_05_00150_00092_00093</t>
  </si>
  <si>
    <t>LTPMSP_06_00150_00071_00101</t>
  </si>
  <si>
    <t>LTPMSP_01_00300_00158_00179</t>
  </si>
  <si>
    <t>LTPMSP_02_00300_00221_00239</t>
  </si>
  <si>
    <t>TIME_LIMIT</t>
  </si>
  <si>
    <t>LTPMSP_03_00300_00112_00177</t>
  </si>
  <si>
    <t>LTPMSP_04_00300_00075_00181</t>
  </si>
  <si>
    <t>LTPMSP_05_00300_00121_00162</t>
  </si>
  <si>
    <t>LTPMSP_06_00300_00119_00176</t>
  </si>
  <si>
    <t>LTPMSP_01_00600_00165_00329</t>
  </si>
  <si>
    <t>LTPMSP_02_00600_00256_00388</t>
  </si>
  <si>
    <t>LTPMSP_03_00600_00120_00288</t>
  </si>
  <si>
    <t>LTPMSP_04_00600_00077_00215</t>
  </si>
  <si>
    <t>LTPMSP_05_00600_00126_00279</t>
  </si>
  <si>
    <t>Average N=150</t>
  </si>
  <si>
    <t>Average N=300</t>
  </si>
  <si>
    <t>Average N=600</t>
  </si>
  <si>
    <t>Overall Average</t>
  </si>
  <si>
    <t>Parameter</t>
  </si>
  <si>
    <t>Value</t>
  </si>
  <si>
    <t>Note</t>
  </si>
  <si>
    <t>Pipeline stage</t>
  </si>
  <si>
    <t>Step 1 — Coelho's Solution Export</t>
  </si>
  <si>
    <t>Perfect maintenance baseline, theta = 0, no degradation</t>
  </si>
  <si>
    <t>Objective</t>
  </si>
  <si>
    <t>Crew activation + outsourcing penalties</t>
  </si>
  <si>
    <t>min sum(z_k) + sum(omega_i (1 - y_i))</t>
  </si>
  <si>
    <t>Instances</t>
  </si>
  <si>
    <t>17 medium-scale, Coelho et al. (2025)</t>
  </si>
  <si>
    <t>Original 7-column instance files, unmodified</t>
  </si>
  <si>
    <t>BKV source</t>
  </si>
  <si>
    <t>Table 10, Coelho et al. (2025)</t>
  </si>
  <si>
    <t>DOI: 10.1111/itor.70021</t>
  </si>
  <si>
    <t>RPD</t>
  </si>
  <si>
    <t>(Z_Gurobi - Z_BKV) / Z_BKV x 100%</t>
  </si>
  <si>
    <t>Negative = Gurobi strictly better than published BKV</t>
  </si>
  <si>
    <t>Big-M</t>
  </si>
  <si>
    <t>max_i L_i per instance</t>
  </si>
  <si>
    <t>Disjunctive machine non-overlap linearization</t>
  </si>
  <si>
    <t>MIP gap tolerance</t>
  </si>
  <si>
    <t>1%</t>
  </si>
  <si>
    <t>Gurobi certified</t>
  </si>
  <si>
    <t>Time limit</t>
  </si>
  <si>
    <t>600 s per instance</t>
  </si>
  <si>
    <t>Solver TimeLimit parameter</t>
  </si>
  <si>
    <t>Solver</t>
  </si>
  <si>
    <t>Gurobi 13.0.2</t>
  </si>
  <si>
    <t>Python API, academic license</t>
  </si>
  <si>
    <t>Source</t>
  </si>
  <si>
    <t>Parsed from 17 Coelhos_Solution_DV.txt files</t>
  </si>
  <si>
    <t>Run of step1_solve_export.py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</si>
</sst>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8"/>
      <color theme="0"/>
      <name val="Arial"/>
      <family val="2"/>
      <charset val="1"/>
    </font>
    <font>
      <i/>
      <sz val="11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6"/>
      <color rgb="FFFFFFFF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1"/>
        <bgColor rgb="FFC0C0C0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4" fontId="4" fillId="0" borderId="7" xfId="0" applyNumberFormat="1" applyFont="1" applyBorder="1"/>
    <xf numFmtId="10" fontId="4" fillId="0" borderId="7" xfId="0" applyNumberFormat="1" applyFont="1" applyBorder="1"/>
    <xf numFmtId="2" fontId="4" fillId="0" borderId="7" xfId="0" applyNumberFormat="1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4" fontId="4" fillId="0" borderId="10" xfId="0" applyNumberFormat="1" applyFont="1" applyBorder="1"/>
    <xf numFmtId="10" fontId="4" fillId="0" borderId="10" xfId="0" applyNumberFormat="1" applyFont="1" applyBorder="1"/>
    <xf numFmtId="2" fontId="4" fillId="0" borderId="10" xfId="0" applyNumberFormat="1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3" borderId="9" xfId="0" applyFont="1" applyFill="1" applyBorder="1"/>
    <xf numFmtId="0" fontId="4" fillId="3" borderId="10" xfId="0" applyFont="1" applyFill="1" applyBorder="1"/>
    <xf numFmtId="4" fontId="4" fillId="3" borderId="10" xfId="0" applyNumberFormat="1" applyFont="1" applyFill="1" applyBorder="1"/>
    <xf numFmtId="10" fontId="4" fillId="3" borderId="10" xfId="0" applyNumberFormat="1" applyFont="1" applyFill="1" applyBorder="1"/>
    <xf numFmtId="2" fontId="4" fillId="3" borderId="10" xfId="0" applyNumberFormat="1" applyFont="1" applyFill="1" applyBorder="1"/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/>
    <xf numFmtId="0" fontId="4" fillId="4" borderId="9" xfId="0" applyFont="1" applyFill="1" applyBorder="1"/>
    <xf numFmtId="0" fontId="4" fillId="4" borderId="10" xfId="0" applyFont="1" applyFill="1" applyBorder="1"/>
    <xf numFmtId="4" fontId="4" fillId="4" borderId="10" xfId="0" applyNumberFormat="1" applyFont="1" applyFill="1" applyBorder="1"/>
    <xf numFmtId="10" fontId="4" fillId="4" borderId="10" xfId="0" applyNumberFormat="1" applyFont="1" applyFill="1" applyBorder="1"/>
    <xf numFmtId="2" fontId="4" fillId="4" borderId="10" xfId="0" applyNumberFormat="1" applyFont="1" applyFill="1" applyBorder="1"/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/>
    <xf numFmtId="0" fontId="4" fillId="0" borderId="12" xfId="0" applyFont="1" applyBorder="1"/>
    <xf numFmtId="0" fontId="4" fillId="0" borderId="13" xfId="0" applyFont="1" applyBorder="1"/>
    <xf numFmtId="4" fontId="4" fillId="0" borderId="13" xfId="0" applyNumberFormat="1" applyFont="1" applyBorder="1"/>
    <xf numFmtId="10" fontId="4" fillId="0" borderId="13" xfId="0" applyNumberFormat="1" applyFont="1" applyBorder="1"/>
    <xf numFmtId="2" fontId="4" fillId="0" borderId="13" xfId="0" applyNumberFormat="1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/>
    <xf numFmtId="0" fontId="5" fillId="5" borderId="0" xfId="0" applyFont="1" applyFill="1"/>
    <xf numFmtId="0" fontId="5" fillId="6" borderId="15" xfId="0" applyFont="1" applyFill="1" applyBorder="1"/>
    <xf numFmtId="4" fontId="5" fillId="5" borderId="0" xfId="0" applyNumberFormat="1" applyFont="1" applyFill="1"/>
    <xf numFmtId="10" fontId="5" fillId="6" borderId="15" xfId="0" applyNumberFormat="1" applyFont="1" applyFill="1" applyBorder="1"/>
    <xf numFmtId="2" fontId="5" fillId="5" borderId="0" xfId="0" applyNumberFormat="1" applyFont="1" applyFill="1"/>
    <xf numFmtId="0" fontId="0" fillId="5" borderId="0" xfId="0" applyFill="1"/>
    <xf numFmtId="0" fontId="5" fillId="6" borderId="16" xfId="0" applyFont="1" applyFill="1" applyBorder="1"/>
    <xf numFmtId="10" fontId="5" fillId="6" borderId="16" xfId="0" applyNumberFormat="1" applyFont="1" applyFill="1" applyBorder="1"/>
    <xf numFmtId="0" fontId="5" fillId="6" borderId="17" xfId="0" applyFont="1" applyFill="1" applyBorder="1"/>
    <xf numFmtId="10" fontId="5" fillId="6" borderId="17" xfId="0" applyNumberFormat="1" applyFont="1" applyFill="1" applyBorder="1"/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Normal="100" workbookViewId="0">
      <pane ySplit="3" topLeftCell="A4" activePane="bottomLeft" state="frozen"/>
      <selection pane="bottomLeft" activeCell="R21" sqref="R21"/>
    </sheetView>
  </sheetViews>
  <sheetFormatPr defaultColWidth="8.7109375" defaultRowHeight="15" x14ac:dyDescent="0.25"/>
  <cols>
    <col min="1" max="1" width="7" customWidth="1"/>
    <col min="2" max="2" width="30" customWidth="1"/>
    <col min="3" max="13" width="13.42578125" customWidth="1"/>
  </cols>
  <sheetData>
    <row r="1" spans="1:14" ht="33.75" customHeight="1" thickBot="1" x14ac:dyDescent="0.3">
      <c r="A1" s="2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</row>
    <row r="2" spans="1:14" ht="23.25" customHeight="1" thickBot="1" x14ac:dyDescent="0.3">
      <c r="A2" s="1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14" ht="38.25" customHeight="1" thickBot="1" x14ac:dyDescent="0.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</row>
    <row r="4" spans="1:14" ht="20.25" customHeight="1" x14ac:dyDescent="0.25">
      <c r="A4" s="6">
        <v>1</v>
      </c>
      <c r="B4" s="7" t="s">
        <v>16</v>
      </c>
      <c r="C4" s="7">
        <v>150</v>
      </c>
      <c r="D4" s="7">
        <v>148</v>
      </c>
      <c r="E4" s="7">
        <v>120</v>
      </c>
      <c r="F4" s="7">
        <v>1848</v>
      </c>
      <c r="G4" s="8">
        <v>1843</v>
      </c>
      <c r="H4" s="9">
        <f t="shared" ref="H4:H20" si="0">(G4-F4)/F4</f>
        <v>-2.7056277056277055E-3</v>
      </c>
      <c r="I4" s="10">
        <v>0</v>
      </c>
      <c r="J4" s="10">
        <v>0.17</v>
      </c>
      <c r="K4" s="11" t="s">
        <v>17</v>
      </c>
      <c r="L4" s="7">
        <v>143</v>
      </c>
      <c r="M4" s="7">
        <f t="shared" ref="M4:M20" si="1">C4-L4</f>
        <v>7</v>
      </c>
      <c r="N4" s="12">
        <v>23</v>
      </c>
    </row>
    <row r="5" spans="1:14" ht="20.25" customHeight="1" x14ac:dyDescent="0.25">
      <c r="A5" s="13">
        <v>2</v>
      </c>
      <c r="B5" s="14" t="s">
        <v>18</v>
      </c>
      <c r="C5" s="14">
        <v>150</v>
      </c>
      <c r="D5" s="14">
        <v>75</v>
      </c>
      <c r="E5" s="14">
        <v>129</v>
      </c>
      <c r="F5" s="14">
        <v>30</v>
      </c>
      <c r="G5" s="15">
        <v>24</v>
      </c>
      <c r="H5" s="16">
        <f t="shared" si="0"/>
        <v>-0.2</v>
      </c>
      <c r="I5" s="17">
        <v>0</v>
      </c>
      <c r="J5" s="17">
        <v>7.0000000000000007E-2</v>
      </c>
      <c r="K5" s="18" t="s">
        <v>17</v>
      </c>
      <c r="L5" s="14">
        <v>150</v>
      </c>
      <c r="M5" s="14">
        <f t="shared" si="1"/>
        <v>0</v>
      </c>
      <c r="N5" s="19">
        <v>24</v>
      </c>
    </row>
    <row r="6" spans="1:14" ht="20.25" customHeight="1" x14ac:dyDescent="0.25">
      <c r="A6" s="13">
        <v>3</v>
      </c>
      <c r="B6" s="14" t="s">
        <v>19</v>
      </c>
      <c r="C6" s="14">
        <v>150</v>
      </c>
      <c r="D6" s="14">
        <v>102</v>
      </c>
      <c r="E6" s="14">
        <v>91</v>
      </c>
      <c r="F6" s="14">
        <v>3273</v>
      </c>
      <c r="G6" s="15">
        <v>3273</v>
      </c>
      <c r="H6" s="16">
        <f t="shared" si="0"/>
        <v>0</v>
      </c>
      <c r="I6" s="17">
        <v>0</v>
      </c>
      <c r="J6" s="17">
        <v>7.0000000000000007E-2</v>
      </c>
      <c r="K6" s="18" t="s">
        <v>17</v>
      </c>
      <c r="L6" s="14">
        <v>149</v>
      </c>
      <c r="M6" s="14">
        <f t="shared" si="1"/>
        <v>1</v>
      </c>
      <c r="N6" s="19">
        <v>27</v>
      </c>
    </row>
    <row r="7" spans="1:14" ht="20.25" customHeight="1" x14ac:dyDescent="0.25">
      <c r="A7" s="13">
        <v>4</v>
      </c>
      <c r="B7" s="14" t="s">
        <v>20</v>
      </c>
      <c r="C7" s="14">
        <v>150</v>
      </c>
      <c r="D7" s="14">
        <v>57</v>
      </c>
      <c r="E7" s="14">
        <v>126</v>
      </c>
      <c r="F7" s="14">
        <v>24</v>
      </c>
      <c r="G7" s="15">
        <v>15</v>
      </c>
      <c r="H7" s="16">
        <f t="shared" si="0"/>
        <v>-0.375</v>
      </c>
      <c r="I7" s="17">
        <v>0</v>
      </c>
      <c r="J7" s="17">
        <v>0.26</v>
      </c>
      <c r="K7" s="18" t="s">
        <v>17</v>
      </c>
      <c r="L7" s="14">
        <v>150</v>
      </c>
      <c r="M7" s="14">
        <f t="shared" si="1"/>
        <v>0</v>
      </c>
      <c r="N7" s="19">
        <v>15</v>
      </c>
    </row>
    <row r="8" spans="1:14" ht="20.25" customHeight="1" x14ac:dyDescent="0.25">
      <c r="A8" s="13">
        <v>5</v>
      </c>
      <c r="B8" s="14" t="s">
        <v>21</v>
      </c>
      <c r="C8" s="14">
        <v>150</v>
      </c>
      <c r="D8" s="14">
        <v>92</v>
      </c>
      <c r="E8" s="14">
        <v>93</v>
      </c>
      <c r="F8" s="14">
        <v>49</v>
      </c>
      <c r="G8" s="15">
        <v>49</v>
      </c>
      <c r="H8" s="16">
        <f t="shared" si="0"/>
        <v>0</v>
      </c>
      <c r="I8" s="17">
        <v>0</v>
      </c>
      <c r="J8" s="17">
        <v>0.06</v>
      </c>
      <c r="K8" s="18" t="s">
        <v>17</v>
      </c>
      <c r="L8" s="14">
        <v>150</v>
      </c>
      <c r="M8" s="14">
        <f t="shared" si="1"/>
        <v>0</v>
      </c>
      <c r="N8" s="19">
        <v>49</v>
      </c>
    </row>
    <row r="9" spans="1:14" ht="20.25" customHeight="1" x14ac:dyDescent="0.25">
      <c r="A9" s="13">
        <v>6</v>
      </c>
      <c r="B9" s="14" t="s">
        <v>22</v>
      </c>
      <c r="C9" s="14">
        <v>150</v>
      </c>
      <c r="D9" s="14">
        <v>71</v>
      </c>
      <c r="E9" s="14">
        <v>101</v>
      </c>
      <c r="F9" s="14">
        <v>106</v>
      </c>
      <c r="G9" s="15">
        <v>104</v>
      </c>
      <c r="H9" s="16">
        <f t="shared" si="0"/>
        <v>-1.8867924528301886E-2</v>
      </c>
      <c r="I9" s="17">
        <v>0</v>
      </c>
      <c r="J9" s="17">
        <v>0.08</v>
      </c>
      <c r="K9" s="18" t="s">
        <v>17</v>
      </c>
      <c r="L9" s="14">
        <v>149</v>
      </c>
      <c r="M9" s="14">
        <f t="shared" si="1"/>
        <v>1</v>
      </c>
      <c r="N9" s="19">
        <v>32</v>
      </c>
    </row>
    <row r="10" spans="1:14" ht="20.25" customHeight="1" x14ac:dyDescent="0.25">
      <c r="A10" s="20">
        <v>7</v>
      </c>
      <c r="B10" s="21" t="s">
        <v>23</v>
      </c>
      <c r="C10" s="21">
        <v>300</v>
      </c>
      <c r="D10" s="21">
        <v>158</v>
      </c>
      <c r="E10" s="21">
        <v>179</v>
      </c>
      <c r="F10" s="21">
        <v>1931</v>
      </c>
      <c r="G10" s="22">
        <v>1925</v>
      </c>
      <c r="H10" s="23">
        <f t="shared" si="0"/>
        <v>-3.1071983428275505E-3</v>
      </c>
      <c r="I10" s="24">
        <v>0</v>
      </c>
      <c r="J10" s="24">
        <v>2.89</v>
      </c>
      <c r="K10" s="25" t="s">
        <v>17</v>
      </c>
      <c r="L10" s="21">
        <v>293</v>
      </c>
      <c r="M10" s="21">
        <f t="shared" si="1"/>
        <v>7</v>
      </c>
      <c r="N10" s="26">
        <v>37</v>
      </c>
    </row>
    <row r="11" spans="1:14" ht="20.25" customHeight="1" x14ac:dyDescent="0.25">
      <c r="A11" s="27">
        <v>8</v>
      </c>
      <c r="B11" s="28" t="s">
        <v>24</v>
      </c>
      <c r="C11" s="28">
        <v>300</v>
      </c>
      <c r="D11" s="28">
        <v>221</v>
      </c>
      <c r="E11" s="28">
        <v>239</v>
      </c>
      <c r="F11" s="28">
        <v>2451</v>
      </c>
      <c r="G11" s="29">
        <v>2445</v>
      </c>
      <c r="H11" s="30">
        <f t="shared" si="0"/>
        <v>-2.4479804161566705E-3</v>
      </c>
      <c r="I11" s="31">
        <v>19.0593</v>
      </c>
      <c r="J11" s="31">
        <v>604.42999999999995</v>
      </c>
      <c r="K11" s="32" t="s">
        <v>25</v>
      </c>
      <c r="L11" s="28">
        <v>284</v>
      </c>
      <c r="M11" s="28">
        <f t="shared" si="1"/>
        <v>16</v>
      </c>
      <c r="N11" s="33">
        <v>45</v>
      </c>
    </row>
    <row r="12" spans="1:14" ht="20.25" customHeight="1" x14ac:dyDescent="0.25">
      <c r="A12" s="20">
        <v>9</v>
      </c>
      <c r="B12" s="21" t="s">
        <v>26</v>
      </c>
      <c r="C12" s="21">
        <v>300</v>
      </c>
      <c r="D12" s="21">
        <v>112</v>
      </c>
      <c r="E12" s="21">
        <v>177</v>
      </c>
      <c r="F12" s="21">
        <v>3359</v>
      </c>
      <c r="G12" s="22">
        <v>3359</v>
      </c>
      <c r="H12" s="23">
        <f t="shared" si="0"/>
        <v>0</v>
      </c>
      <c r="I12" s="24">
        <v>0</v>
      </c>
      <c r="J12" s="24">
        <v>0.2</v>
      </c>
      <c r="K12" s="25" t="s">
        <v>17</v>
      </c>
      <c r="L12" s="21">
        <v>298</v>
      </c>
      <c r="M12" s="21">
        <f t="shared" si="1"/>
        <v>2</v>
      </c>
      <c r="N12" s="26">
        <v>41</v>
      </c>
    </row>
    <row r="13" spans="1:14" ht="20.25" customHeight="1" x14ac:dyDescent="0.25">
      <c r="A13" s="20">
        <v>10</v>
      </c>
      <c r="B13" s="21" t="s">
        <v>27</v>
      </c>
      <c r="C13" s="21">
        <v>300</v>
      </c>
      <c r="D13" s="21">
        <v>75</v>
      </c>
      <c r="E13" s="21">
        <v>181</v>
      </c>
      <c r="F13" s="21">
        <v>35</v>
      </c>
      <c r="G13" s="22">
        <v>20</v>
      </c>
      <c r="H13" s="23">
        <f t="shared" si="0"/>
        <v>-0.42857142857142855</v>
      </c>
      <c r="I13" s="24">
        <v>0</v>
      </c>
      <c r="J13" s="24">
        <v>0.13</v>
      </c>
      <c r="K13" s="25" t="s">
        <v>17</v>
      </c>
      <c r="L13" s="21">
        <v>300</v>
      </c>
      <c r="M13" s="21">
        <f t="shared" si="1"/>
        <v>0</v>
      </c>
      <c r="N13" s="26">
        <v>20</v>
      </c>
    </row>
    <row r="14" spans="1:14" ht="20.25" customHeight="1" x14ac:dyDescent="0.25">
      <c r="A14" s="20">
        <v>11</v>
      </c>
      <c r="B14" s="21" t="s">
        <v>28</v>
      </c>
      <c r="C14" s="21">
        <v>300</v>
      </c>
      <c r="D14" s="21">
        <v>121</v>
      </c>
      <c r="E14" s="21">
        <v>162</v>
      </c>
      <c r="F14" s="21">
        <v>65</v>
      </c>
      <c r="G14" s="22">
        <v>64</v>
      </c>
      <c r="H14" s="23">
        <f t="shared" si="0"/>
        <v>-1.5384615384615385E-2</v>
      </c>
      <c r="I14" s="24">
        <v>0</v>
      </c>
      <c r="J14" s="24">
        <v>0.23</v>
      </c>
      <c r="K14" s="25" t="s">
        <v>17</v>
      </c>
      <c r="L14" s="21">
        <v>300</v>
      </c>
      <c r="M14" s="21">
        <f t="shared" si="1"/>
        <v>0</v>
      </c>
      <c r="N14" s="26">
        <v>64</v>
      </c>
    </row>
    <row r="15" spans="1:14" ht="20.25" customHeight="1" x14ac:dyDescent="0.25">
      <c r="A15" s="20">
        <v>12</v>
      </c>
      <c r="B15" s="21" t="s">
        <v>29</v>
      </c>
      <c r="C15" s="21">
        <v>300</v>
      </c>
      <c r="D15" s="21">
        <v>119</v>
      </c>
      <c r="E15" s="21">
        <v>176</v>
      </c>
      <c r="F15" s="21">
        <v>308</v>
      </c>
      <c r="G15" s="22">
        <v>304</v>
      </c>
      <c r="H15" s="23">
        <f t="shared" si="0"/>
        <v>-1.2987012987012988E-2</v>
      </c>
      <c r="I15" s="24">
        <v>0</v>
      </c>
      <c r="J15" s="24">
        <v>0.14000000000000001</v>
      </c>
      <c r="K15" s="25" t="s">
        <v>17</v>
      </c>
      <c r="L15" s="21">
        <v>297</v>
      </c>
      <c r="M15" s="21">
        <f t="shared" si="1"/>
        <v>3</v>
      </c>
      <c r="N15" s="26">
        <v>37</v>
      </c>
    </row>
    <row r="16" spans="1:14" ht="20.25" customHeight="1" x14ac:dyDescent="0.25">
      <c r="A16" s="27">
        <v>13</v>
      </c>
      <c r="B16" s="28" t="s">
        <v>30</v>
      </c>
      <c r="C16" s="28">
        <v>600</v>
      </c>
      <c r="D16" s="28">
        <v>165</v>
      </c>
      <c r="E16" s="28">
        <v>329</v>
      </c>
      <c r="F16" s="28">
        <v>4494</v>
      </c>
      <c r="G16" s="29">
        <v>4481</v>
      </c>
      <c r="H16" s="30">
        <f t="shared" si="0"/>
        <v>-2.8927458834000891E-3</v>
      </c>
      <c r="I16" s="31">
        <v>17.7193</v>
      </c>
      <c r="J16" s="31">
        <v>600.03</v>
      </c>
      <c r="K16" s="32" t="s">
        <v>25</v>
      </c>
      <c r="L16" s="28">
        <v>580</v>
      </c>
      <c r="M16" s="28">
        <f t="shared" si="1"/>
        <v>20</v>
      </c>
      <c r="N16" s="33">
        <v>45</v>
      </c>
    </row>
    <row r="17" spans="1:14" ht="20.25" customHeight="1" x14ac:dyDescent="0.25">
      <c r="A17" s="27">
        <v>14</v>
      </c>
      <c r="B17" s="28" t="s">
        <v>31</v>
      </c>
      <c r="C17" s="28">
        <v>600</v>
      </c>
      <c r="D17" s="28">
        <v>256</v>
      </c>
      <c r="E17" s="28">
        <v>388</v>
      </c>
      <c r="F17" s="28">
        <v>3380</v>
      </c>
      <c r="G17" s="29">
        <v>3340</v>
      </c>
      <c r="H17" s="30">
        <f t="shared" si="0"/>
        <v>-1.1834319526627219E-2</v>
      </c>
      <c r="I17" s="31">
        <v>40.628700000000002</v>
      </c>
      <c r="J17" s="31">
        <v>602.79</v>
      </c>
      <c r="K17" s="32" t="s">
        <v>25</v>
      </c>
      <c r="L17" s="28">
        <v>570</v>
      </c>
      <c r="M17" s="28">
        <f t="shared" si="1"/>
        <v>30</v>
      </c>
      <c r="N17" s="33">
        <v>47</v>
      </c>
    </row>
    <row r="18" spans="1:14" ht="20.25" customHeight="1" x14ac:dyDescent="0.25">
      <c r="A18" s="13">
        <v>15</v>
      </c>
      <c r="B18" s="14" t="s">
        <v>32</v>
      </c>
      <c r="C18" s="14">
        <v>600</v>
      </c>
      <c r="D18" s="14">
        <v>120</v>
      </c>
      <c r="E18" s="14">
        <v>288</v>
      </c>
      <c r="F18" s="14">
        <v>8576</v>
      </c>
      <c r="G18" s="15">
        <v>8567</v>
      </c>
      <c r="H18" s="16">
        <f t="shared" si="0"/>
        <v>-1.0494402985074627E-3</v>
      </c>
      <c r="I18" s="17">
        <v>0</v>
      </c>
      <c r="J18" s="17">
        <v>28.1</v>
      </c>
      <c r="K18" s="18" t="s">
        <v>17</v>
      </c>
      <c r="L18" s="14">
        <v>583</v>
      </c>
      <c r="M18" s="14">
        <f t="shared" si="1"/>
        <v>17</v>
      </c>
      <c r="N18" s="19">
        <v>43</v>
      </c>
    </row>
    <row r="19" spans="1:14" ht="20.25" customHeight="1" x14ac:dyDescent="0.25">
      <c r="A19" s="13">
        <v>16</v>
      </c>
      <c r="B19" s="14" t="s">
        <v>33</v>
      </c>
      <c r="C19" s="14">
        <v>600</v>
      </c>
      <c r="D19" s="14">
        <v>77</v>
      </c>
      <c r="E19" s="14">
        <v>215</v>
      </c>
      <c r="F19" s="14">
        <v>37</v>
      </c>
      <c r="G19" s="15">
        <v>23</v>
      </c>
      <c r="H19" s="16">
        <f t="shared" si="0"/>
        <v>-0.3783783783783784</v>
      </c>
      <c r="I19" s="17">
        <v>0</v>
      </c>
      <c r="J19" s="17">
        <v>0.59</v>
      </c>
      <c r="K19" s="18" t="s">
        <v>17</v>
      </c>
      <c r="L19" s="14">
        <v>600</v>
      </c>
      <c r="M19" s="14">
        <f t="shared" si="1"/>
        <v>0</v>
      </c>
      <c r="N19" s="19">
        <v>23</v>
      </c>
    </row>
    <row r="20" spans="1:14" ht="20.25" customHeight="1" x14ac:dyDescent="0.25">
      <c r="A20" s="34">
        <v>17</v>
      </c>
      <c r="B20" s="35" t="s">
        <v>34</v>
      </c>
      <c r="C20" s="35">
        <v>600</v>
      </c>
      <c r="D20" s="35">
        <v>126</v>
      </c>
      <c r="E20" s="35">
        <v>279</v>
      </c>
      <c r="F20" s="35">
        <v>410</v>
      </c>
      <c r="G20" s="36">
        <v>408</v>
      </c>
      <c r="H20" s="37">
        <f t="shared" si="0"/>
        <v>-4.8780487804878049E-3</v>
      </c>
      <c r="I20" s="38">
        <v>0</v>
      </c>
      <c r="J20" s="38">
        <v>0.5</v>
      </c>
      <c r="K20" s="39" t="s">
        <v>17</v>
      </c>
      <c r="L20" s="35">
        <v>598</v>
      </c>
      <c r="M20" s="35">
        <f t="shared" si="1"/>
        <v>2</v>
      </c>
      <c r="N20" s="40">
        <v>65</v>
      </c>
    </row>
    <row r="21" spans="1:14" ht="20.25" customHeight="1" x14ac:dyDescent="0.25">
      <c r="A21" s="41"/>
      <c r="B21" s="42" t="s">
        <v>35</v>
      </c>
      <c r="C21" s="41"/>
      <c r="D21" s="41"/>
      <c r="E21" s="41"/>
      <c r="F21" s="41"/>
      <c r="G21" s="43"/>
      <c r="H21" s="44">
        <f>AVERAGEIF($C$4:$C$20,150,$H$4:$H$20)</f>
        <v>-9.9428925372321605E-2</v>
      </c>
      <c r="I21" s="45"/>
      <c r="J21" s="46"/>
      <c r="K21" s="41"/>
      <c r="L21" s="41"/>
      <c r="M21" s="41"/>
      <c r="N21" s="41"/>
    </row>
    <row r="22" spans="1:14" ht="20.25" customHeight="1" x14ac:dyDescent="0.25">
      <c r="A22" s="41"/>
      <c r="B22" s="47" t="s">
        <v>36</v>
      </c>
      <c r="C22" s="41"/>
      <c r="D22" s="41"/>
      <c r="E22" s="41"/>
      <c r="F22" s="41"/>
      <c r="G22" s="43"/>
      <c r="H22" s="48">
        <f>AVERAGEIF($C$4:$C$20,300,$H$4:$H$20)</f>
        <v>-7.7083039283673521E-2</v>
      </c>
      <c r="I22" s="45"/>
      <c r="J22" s="46"/>
      <c r="K22" s="41"/>
      <c r="L22" s="41"/>
      <c r="M22" s="41"/>
      <c r="N22" s="41"/>
    </row>
    <row r="23" spans="1:14" ht="20.25" customHeight="1" x14ac:dyDescent="0.25">
      <c r="A23" s="41"/>
      <c r="B23" s="47" t="s">
        <v>37</v>
      </c>
      <c r="C23" s="41"/>
      <c r="D23" s="41"/>
      <c r="E23" s="41"/>
      <c r="F23" s="41"/>
      <c r="G23" s="43"/>
      <c r="H23" s="48">
        <f>AVERAGEIF($C$4:$C$20,600,$H$4:$H$20)</f>
        <v>-7.9806586573480193E-2</v>
      </c>
      <c r="I23" s="45"/>
      <c r="J23" s="46"/>
      <c r="K23" s="41"/>
      <c r="L23" s="41"/>
      <c r="M23" s="41"/>
      <c r="N23" s="41"/>
    </row>
    <row r="24" spans="1:14" ht="20.25" customHeight="1" x14ac:dyDescent="0.25">
      <c r="A24" s="41"/>
      <c r="B24" s="49" t="s">
        <v>38</v>
      </c>
      <c r="C24" s="41"/>
      <c r="D24" s="41"/>
      <c r="E24" s="41"/>
      <c r="F24" s="41"/>
      <c r="G24" s="43"/>
      <c r="H24" s="50">
        <f>AVERAGE(H4:H20)</f>
        <v>-8.5770865929610099E-2</v>
      </c>
      <c r="I24" s="45"/>
      <c r="J24" s="46"/>
      <c r="K24" s="41"/>
      <c r="L24" s="41"/>
      <c r="M24" s="41"/>
      <c r="N24" s="41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>
      <selection activeCell="B20" sqref="B20"/>
    </sheetView>
  </sheetViews>
  <sheetFormatPr defaultColWidth="8.7109375" defaultRowHeight="15" x14ac:dyDescent="0.25"/>
  <cols>
    <col min="1" max="1" width="26" customWidth="1"/>
    <col min="2" max="2" width="40" customWidth="1"/>
    <col min="3" max="3" width="58" customWidth="1"/>
  </cols>
  <sheetData>
    <row r="1" spans="1:3" ht="36" customHeight="1" x14ac:dyDescent="0.25">
      <c r="A1" s="51" t="s">
        <v>39</v>
      </c>
      <c r="B1" s="52" t="s">
        <v>40</v>
      </c>
      <c r="C1" s="53" t="s">
        <v>41</v>
      </c>
    </row>
    <row r="2" spans="1:3" ht="30.75" customHeight="1" x14ac:dyDescent="0.25">
      <c r="A2" s="7" t="s">
        <v>42</v>
      </c>
      <c r="B2" s="7" t="s">
        <v>43</v>
      </c>
      <c r="C2" s="7" t="s">
        <v>44</v>
      </c>
    </row>
    <row r="3" spans="1:3" ht="30.75" customHeight="1" x14ac:dyDescent="0.25">
      <c r="A3" s="14" t="s">
        <v>45</v>
      </c>
      <c r="B3" s="14" t="s">
        <v>46</v>
      </c>
      <c r="C3" s="14" t="s">
        <v>47</v>
      </c>
    </row>
    <row r="4" spans="1:3" ht="30.75" customHeight="1" x14ac:dyDescent="0.25">
      <c r="A4" s="14" t="s">
        <v>48</v>
      </c>
      <c r="B4" s="14" t="s">
        <v>49</v>
      </c>
      <c r="C4" s="14" t="s">
        <v>50</v>
      </c>
    </row>
    <row r="5" spans="1:3" ht="30.75" customHeight="1" x14ac:dyDescent="0.25">
      <c r="A5" s="14" t="s">
        <v>51</v>
      </c>
      <c r="B5" s="14" t="s">
        <v>52</v>
      </c>
      <c r="C5" s="14" t="s">
        <v>53</v>
      </c>
    </row>
    <row r="6" spans="1:3" ht="30.75" customHeight="1" x14ac:dyDescent="0.25">
      <c r="A6" s="14" t="s">
        <v>54</v>
      </c>
      <c r="B6" s="14" t="s">
        <v>55</v>
      </c>
      <c r="C6" s="14" t="s">
        <v>56</v>
      </c>
    </row>
    <row r="7" spans="1:3" ht="30.75" customHeight="1" x14ac:dyDescent="0.25">
      <c r="A7" s="14" t="s">
        <v>57</v>
      </c>
      <c r="B7" s="14" t="s">
        <v>58</v>
      </c>
      <c r="C7" s="14" t="s">
        <v>59</v>
      </c>
    </row>
    <row r="8" spans="1:3" ht="30.75" customHeight="1" x14ac:dyDescent="0.25">
      <c r="A8" s="14" t="s">
        <v>60</v>
      </c>
      <c r="B8" s="14" t="s">
        <v>61</v>
      </c>
      <c r="C8" s="14" t="s">
        <v>62</v>
      </c>
    </row>
    <row r="9" spans="1:3" ht="30.75" customHeight="1" x14ac:dyDescent="0.25">
      <c r="A9" s="14" t="s">
        <v>63</v>
      </c>
      <c r="B9" s="14" t="s">
        <v>64</v>
      </c>
      <c r="C9" s="14" t="s">
        <v>65</v>
      </c>
    </row>
    <row r="10" spans="1:3" ht="30.75" customHeight="1" x14ac:dyDescent="0.25">
      <c r="A10" s="14" t="s">
        <v>66</v>
      </c>
      <c r="B10" s="14" t="s">
        <v>67</v>
      </c>
      <c r="C10" s="14" t="s">
        <v>68</v>
      </c>
    </row>
    <row r="11" spans="1:3" ht="30.75" customHeight="1" x14ac:dyDescent="0.25">
      <c r="A11" s="14" t="s">
        <v>69</v>
      </c>
      <c r="B11" s="14" t="s">
        <v>70</v>
      </c>
      <c r="C11" s="14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Coelho's Baseline Results</vt:lpstr>
      <vt:lpstr>Run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Mac-Arthur Doetein</cp:lastModifiedBy>
  <cp:revision>0</cp:revision>
  <dcterms:created xsi:type="dcterms:W3CDTF">2026-07-19T04:36:35Z</dcterms:created>
  <dcterms:modified xsi:type="dcterms:W3CDTF">2026-07-19T14:56:45Z</dcterms:modified>
  <dc:language>en-US</dc:language>
</cp:coreProperties>
</file>